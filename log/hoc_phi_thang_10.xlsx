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 tabRatio="50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<sst xmlns="http://schemas.openxmlformats.org/spreadsheetml/2006/main" count="72" uniqueCount="53">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</sst>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\ _₫_-;\-* #,##0\ _₫_-;_-* &quot;-&quot;\ _₫_-;_-@_-"/>
    <numFmt numFmtId="43" formatCode="_-* #,##0.00\ _₫_-;\-* #,##0.00\ _₫_-;_-* &quot;-&quot;??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</numFmts>
  <fonts count="22"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176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177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"/>
    </sheetView>
  </sheetViews>
  <sheetFormatPr defaultColWidth="8.67592592592593" defaultRowHeight="15" customHeight="1" outlineLevelCol="6"/>
  <cols>
    <col min="1" max="7" width="16" style="1" customWidth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 customHeight="1" spans="1:7">
      <c r="A2" s="1" t="s">
        <v>7</v>
      </c>
      <c r="B2" s="1" t="s">
        <v>8</v>
      </c>
      <c r="C2" s="1" t="s">
        <v>9</v>
      </c>
      <c r="D2" s="1">
        <v>3</v>
      </c>
      <c r="E2" s="1" t="str">
        <f>VLOOKUP(C2,KhoaHoc!$A$2:$C$8,2,FALSE())</f>
        <v>Tieng Anh thieu nhi</v>
      </c>
      <c r="F2" s="1">
        <f>VLOOKUP(C2,KhoaHoc!$A$2:$C$8,3,FALSE())</f>
        <v>900000</v>
      </c>
      <c r="G2" s="1">
        <f t="shared" ref="G2:G16" si="0">D2*F2</f>
        <v>2700000</v>
      </c>
    </row>
    <row r="3" hidden="1" customHeight="1" spans="1:7">
      <c r="A3" s="1" t="s">
        <v>10</v>
      </c>
      <c r="B3" s="1" t="s">
        <v>11</v>
      </c>
      <c r="C3" s="1" t="s">
        <v>12</v>
      </c>
      <c r="D3" s="1">
        <v>2</v>
      </c>
      <c r="E3" s="1" t="str">
        <f>VLOOKUP(C3,KhoaHoc!$A$2:$C$8,2,FALSE())</f>
        <v>IELTS 6.5</v>
      </c>
      <c r="F3" s="1">
        <f>VLOOKUP(C3,KhoaHoc!$A$2:$C$8,3,FALSE())</f>
        <v>2500000</v>
      </c>
      <c r="G3" s="1">
        <f t="shared" si="0"/>
        <v>5000000</v>
      </c>
    </row>
    <row r="4" customHeight="1" spans="1:7">
      <c r="A4" s="1" t="s">
        <v>13</v>
      </c>
      <c r="B4" s="1" t="s">
        <v>14</v>
      </c>
      <c r="C4" s="1" t="s">
        <v>15</v>
      </c>
      <c r="D4" s="1">
        <v>3</v>
      </c>
      <c r="E4" s="1" t="str">
        <f>VLOOKUP(C4,KhoaHoc!$A$2:$C$8,2,FALSE())</f>
        <v>Luyen phong van</v>
      </c>
      <c r="F4" s="1">
        <f>VLOOKUP(C4,KhoaHoc!$A$2:$C$8,3,FALSE())</f>
        <v>3000000</v>
      </c>
      <c r="G4" s="1">
        <f t="shared" si="0"/>
        <v>9000000</v>
      </c>
    </row>
    <row r="5" hidden="1" customHeight="1" spans="1:7">
      <c r="A5" s="1" t="s">
        <v>16</v>
      </c>
      <c r="B5" s="1" t="s">
        <v>17</v>
      </c>
      <c r="C5" s="1" t="s">
        <v>18</v>
      </c>
      <c r="D5" s="1">
        <v>1</v>
      </c>
      <c r="E5" s="1" t="str">
        <f>VLOOKUP(C5,KhoaHoc!$A$2:$C$8,2,FALSE())</f>
        <v>Giao tiep nang cao</v>
      </c>
      <c r="F5" s="1">
        <f>VLOOKUP(C5,KhoaHoc!$A$2:$C$8,3,FALSE())</f>
        <v>1500000</v>
      </c>
      <c r="G5" s="1">
        <f t="shared" si="0"/>
        <v>1500000</v>
      </c>
    </row>
    <row r="6" customHeight="1" spans="1:7">
      <c r="A6" s="1" t="s">
        <v>19</v>
      </c>
      <c r="B6" s="1" t="s">
        <v>20</v>
      </c>
      <c r="C6" s="1" t="s">
        <v>18</v>
      </c>
      <c r="D6" s="1">
        <v>4</v>
      </c>
      <c r="E6" s="1" t="str">
        <f>VLOOKUP(C6,KhoaHoc!$A$2:$C$8,2,FALSE())</f>
        <v>Giao tiep nang cao</v>
      </c>
      <c r="F6" s="1">
        <f>VLOOKUP(C6,KhoaHoc!$A$2:$C$8,3,FALSE())</f>
        <v>1500000</v>
      </c>
      <c r="G6" s="1">
        <f t="shared" si="0"/>
        <v>6000000</v>
      </c>
    </row>
    <row r="7" customHeight="1" spans="1:7">
      <c r="A7" s="1" t="s">
        <v>21</v>
      </c>
      <c r="B7" s="1" t="s">
        <v>22</v>
      </c>
      <c r="C7" s="1" t="s">
        <v>23</v>
      </c>
      <c r="D7" s="1">
        <v>4</v>
      </c>
      <c r="E7" s="1" t="str">
        <f>VLOOKUP(C7,KhoaHoc!$A$2:$C$8,2,FALSE())</f>
        <v>IELTS 5.0</v>
      </c>
      <c r="F7" s="1">
        <f>VLOOKUP(C7,KhoaHoc!$A$2:$C$8,3,FALSE())</f>
        <v>2000000</v>
      </c>
      <c r="G7" s="1">
        <f t="shared" si="0"/>
        <v>8000000</v>
      </c>
    </row>
    <row r="8" customHeight="1" spans="1:7">
      <c r="A8" s="1" t="s">
        <v>24</v>
      </c>
      <c r="B8" s="1" t="s">
        <v>25</v>
      </c>
      <c r="C8" s="1" t="s">
        <v>26</v>
      </c>
      <c r="D8" s="1">
        <v>4</v>
      </c>
      <c r="E8" s="1" t="str">
        <f>VLOOKUP(C8,KhoaHoc!$A$2:$C$8,2,FALSE())</f>
        <v>TOEIC 550</v>
      </c>
      <c r="F8" s="1">
        <f>VLOOKUP(C8,KhoaHoc!$A$2:$C$8,3,FALSE())</f>
        <v>1800000</v>
      </c>
      <c r="G8" s="1">
        <f t="shared" si="0"/>
        <v>7200000</v>
      </c>
    </row>
    <row r="9" customHeight="1" spans="1:7">
      <c r="A9" s="1" t="s">
        <v>27</v>
      </c>
      <c r="B9" s="1" t="s">
        <v>28</v>
      </c>
      <c r="C9" s="1" t="s">
        <v>15</v>
      </c>
      <c r="D9" s="1">
        <v>3</v>
      </c>
      <c r="E9" s="1" t="str">
        <f>VLOOKUP(C9,KhoaHoc!$A$2:$C$8,2,FALSE())</f>
        <v>Luyen phong van</v>
      </c>
      <c r="F9" s="1">
        <f>VLOOKUP(C9,KhoaHoc!$A$2:$C$8,3,FALSE())</f>
        <v>3000000</v>
      </c>
      <c r="G9" s="1">
        <f t="shared" si="0"/>
        <v>9000000</v>
      </c>
    </row>
    <row r="10" customHeight="1" spans="1:7">
      <c r="A10" s="1" t="s">
        <v>29</v>
      </c>
      <c r="B10" s="1" t="s">
        <v>30</v>
      </c>
      <c r="C10" s="1" t="s">
        <v>12</v>
      </c>
      <c r="D10" s="1">
        <v>3</v>
      </c>
      <c r="E10" s="1" t="str">
        <f>VLOOKUP(C10,KhoaHoc!$A$2:$C$8,2,FALSE())</f>
        <v>IELTS 6.5</v>
      </c>
      <c r="F10" s="1">
        <f>VLOOKUP(C10,KhoaHoc!$A$2:$C$8,3,FALSE())</f>
        <v>2500000</v>
      </c>
      <c r="G10" s="1">
        <f t="shared" si="0"/>
        <v>7500000</v>
      </c>
    </row>
    <row r="11" hidden="1" customHeight="1" spans="1:7">
      <c r="A11" s="1" t="s">
        <v>31</v>
      </c>
      <c r="B11" s="1" t="s">
        <v>32</v>
      </c>
      <c r="C11" s="1" t="s">
        <v>12</v>
      </c>
      <c r="D11" s="1">
        <v>1</v>
      </c>
      <c r="E11" s="1" t="str">
        <f>VLOOKUP(C11,KhoaHoc!$A$2:$C$8,2,FALSE())</f>
        <v>IELTS 6.5</v>
      </c>
      <c r="F11" s="1">
        <f>VLOOKUP(C11,KhoaHoc!$A$2:$C$8,3,FALSE())</f>
        <v>2500000</v>
      </c>
      <c r="G11" s="1">
        <f t="shared" si="0"/>
        <v>2500000</v>
      </c>
    </row>
    <row r="12" hidden="1" customHeight="1" spans="1:7">
      <c r="A12" s="1" t="s">
        <v>33</v>
      </c>
      <c r="B12" s="1" t="s">
        <v>34</v>
      </c>
      <c r="C12" s="1" t="s">
        <v>9</v>
      </c>
      <c r="D12" s="1">
        <v>1</v>
      </c>
      <c r="E12" s="1" t="str">
        <f>VLOOKUP(C12,KhoaHoc!$A$2:$C$8,2,FALSE())</f>
        <v>Tieng Anh thieu nhi</v>
      </c>
      <c r="F12" s="1">
        <f>VLOOKUP(C12,KhoaHoc!$A$2:$C$8,3,FALSE())</f>
        <v>900000</v>
      </c>
      <c r="G12" s="1">
        <f t="shared" si="0"/>
        <v>900000</v>
      </c>
    </row>
    <row r="13" hidden="1" customHeight="1" spans="1:7">
      <c r="A13" s="1" t="s">
        <v>35</v>
      </c>
      <c r="B13" s="1" t="s">
        <v>36</v>
      </c>
      <c r="C13" s="1" t="s">
        <v>37</v>
      </c>
      <c r="D13" s="1">
        <v>4</v>
      </c>
      <c r="E13" s="1" t="str">
        <f>VLOOKUP(C13,KhoaHoc!$A$2:$C$8,2,FALSE())</f>
        <v>Giao tiep co ban</v>
      </c>
      <c r="F13" s="1">
        <f>VLOOKUP(C13,KhoaHoc!$A$2:$C$8,3,FALSE())</f>
        <v>1200000</v>
      </c>
      <c r="G13" s="1">
        <f t="shared" si="0"/>
        <v>4800000</v>
      </c>
    </row>
    <row r="14" hidden="1" customHeight="1" spans="1:7">
      <c r="A14" s="1" t="s">
        <v>38</v>
      </c>
      <c r="B14" s="1" t="s">
        <v>39</v>
      </c>
      <c r="C14" s="1" t="s">
        <v>26</v>
      </c>
      <c r="D14" s="1">
        <v>3</v>
      </c>
      <c r="E14" s="1" t="str">
        <f>VLOOKUP(C14,KhoaHoc!$A$2:$C$8,2,FALSE())</f>
        <v>TOEIC 550</v>
      </c>
      <c r="F14" s="1">
        <f>VLOOKUP(C14,KhoaHoc!$A$2:$C$8,3,FALSE())</f>
        <v>1800000</v>
      </c>
      <c r="G14" s="1">
        <f t="shared" si="0"/>
        <v>5400000</v>
      </c>
    </row>
    <row r="15" hidden="1" customHeight="1" spans="1:7">
      <c r="A15" s="1" t="s">
        <v>40</v>
      </c>
      <c r="B15" s="1" t="s">
        <v>41</v>
      </c>
      <c r="C15" s="1" t="s">
        <v>12</v>
      </c>
      <c r="D15" s="1">
        <v>1</v>
      </c>
      <c r="E15" s="1" t="str">
        <f>VLOOKUP(C15,KhoaHoc!$A$2:$C$8,2,FALSE())</f>
        <v>IELTS 6.5</v>
      </c>
      <c r="F15" s="1">
        <f>VLOOKUP(C15,KhoaHoc!$A$2:$C$8,3,FALSE())</f>
        <v>2500000</v>
      </c>
      <c r="G15" s="1">
        <f t="shared" si="0"/>
        <v>2500000</v>
      </c>
    </row>
    <row r="16" customHeight="1" spans="1:7">
      <c r="A16" s="1" t="s">
        <v>42</v>
      </c>
      <c r="B16" s="1" t="s">
        <v>43</v>
      </c>
      <c r="C16" s="1" t="s">
        <v>12</v>
      </c>
      <c r="D16" s="1">
        <v>4</v>
      </c>
      <c r="E16" s="1" t="str">
        <f>VLOOKUP(C16,KhoaHoc!$A$2:$C$8,2,FALSE())</f>
        <v>IELTS 6.5</v>
      </c>
      <c r="F16" s="1">
        <f>VLOOKUP(C16,KhoaHoc!$A$2:$C$8,3,FALSE())</f>
        <v>2500000</v>
      </c>
      <c r="G16" s="1">
        <f t="shared" si="0"/>
        <v>10000000</v>
      </c>
    </row>
  </sheetData>
  <autoFilter xmlns:etc="http://www.wps.cn/officeDocument/2017/etCustomData" ref="A1:G16" etc:filterBottomFollowUsedRange="0">
    <filterColumn colId="6">
      <customFilters and="1">
        <customFilter operator="greaterThanOrEqual" val="6000000"/>
        <customFilter operator="equal" val=""/>
      </customFilters>
    </filterColumn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8.67592592592593" defaultRowHeight="15" customHeight="1" outlineLevelRow="7" outlineLevelCol="5"/>
  <cols>
    <col min="1" max="7" width="16" style="1" customWidth="1"/>
  </cols>
  <sheetData>
    <row r="1" customHeight="1" spans="1:6">
      <c r="A1" s="1" t="s">
        <v>2</v>
      </c>
      <c r="B1" s="1" t="s">
        <v>4</v>
      </c>
      <c r="C1" s="1" t="s">
        <v>5</v>
      </c>
      <c r="E1" s="1" t="s">
        <v>44</v>
      </c>
      <c r="F1" s="1" t="s">
        <v>45</v>
      </c>
    </row>
    <row r="2" customHeight="1" spans="1:6">
      <c r="A2" s="1" t="s">
        <v>37</v>
      </c>
      <c r="B2" s="1" t="s">
        <v>46</v>
      </c>
      <c r="C2" s="1">
        <v>1200000</v>
      </c>
      <c r="E2" s="1" t="s">
        <v>12</v>
      </c>
      <c r="F2" s="1">
        <f>VLOOKUP(E2,$A$2:$C$8,3,FALSE())</f>
        <v>2500000</v>
      </c>
    </row>
    <row r="3" customHeight="1" spans="1:6">
      <c r="A3" s="1" t="s">
        <v>18</v>
      </c>
      <c r="B3" s="1" t="s">
        <v>47</v>
      </c>
      <c r="C3" s="1">
        <v>1500000</v>
      </c>
    </row>
    <row r="4" customHeight="1" spans="1:6">
      <c r="A4" s="1" t="s">
        <v>23</v>
      </c>
      <c r="B4" s="1" t="s">
        <v>48</v>
      </c>
      <c r="C4" s="1">
        <v>2000000</v>
      </c>
    </row>
    <row r="5" customHeight="1" spans="1:6">
      <c r="A5" s="1" t="s">
        <v>12</v>
      </c>
      <c r="B5" s="1" t="s">
        <v>49</v>
      </c>
      <c r="C5" s="1">
        <v>2500000</v>
      </c>
    </row>
    <row r="6" customHeight="1" spans="1:6">
      <c r="A6" s="1" t="s">
        <v>26</v>
      </c>
      <c r="B6" s="1" t="s">
        <v>50</v>
      </c>
      <c r="C6" s="1">
        <v>1800000</v>
      </c>
    </row>
    <row r="7" customHeight="1" spans="1:6">
      <c r="A7" s="1" t="s">
        <v>9</v>
      </c>
      <c r="B7" s="1" t="s">
        <v>51</v>
      </c>
      <c r="C7" s="1">
        <v>900000</v>
      </c>
    </row>
    <row r="8" customHeight="1" spans="1:6">
      <c r="A8" s="1" t="s">
        <v>15</v>
      </c>
      <c r="B8" s="1" t="s">
        <v>52</v>
      </c>
      <c r="C8" s="1">
        <v>3000000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LibreOffice/25.2.3.2$Linux_X86_64 LibreOffice_project/520$Build-2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2026-10-19T10:04:00Z</dcterms:created>
  <dcterms:modified xsi:type="dcterms:W3CDTF">2026-10-22T09:20:51Z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1ED4E0B9B22D4A8DB81E2E7508DA1E03_12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